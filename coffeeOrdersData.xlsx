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egan\Downloads\"/>
    </mc:Choice>
  </mc:AlternateContent>
  <xr:revisionPtr revIDLastSave="0" documentId="13_ncr:1_{AEA1DFBA-FA4C-4B63-98E2-CD88948FCC9F}" xr6:coauthVersionLast="47" xr6:coauthVersionMax="47" xr10:uidLastSave="{00000000-0000-0000-0000-000000000000}"/>
  <bookViews>
    <workbookView showHorizontalScroll="0" showVerticalScroll="0" xWindow="28680" yWindow="-120" windowWidth="29040" windowHeight="15720" firstSheet="4" activeTab="5" xr2:uid="{00000000-000D-0000-FFFF-FFFF00000000}"/>
  </bookViews>
  <sheets>
    <sheet name="TotalSales" sheetId="18" state="hidden" r:id="rId1"/>
    <sheet name="CountryBarchart" sheetId="20" state="hidden" r:id="rId2"/>
    <sheet name="Top5Customers" sheetId="21" state="hidden" r:id="rId3"/>
    <sheet name="DashBoard" sheetId="22" state="hidden"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498" i="17"/>
  <c r="N758" i="17"/>
  <c r="N949" i="17"/>
  <c r="M107" i="17"/>
  <c r="M236" i="17"/>
  <c r="M333" i="17"/>
  <c r="M414" i="17"/>
  <c r="M476" i="17"/>
  <c r="M522" i="17"/>
  <c r="M557" i="17"/>
  <c r="M587" i="17"/>
  <c r="M644" i="17"/>
  <c r="M667" i="17"/>
  <c r="M695" i="17"/>
  <c r="M717" i="17"/>
  <c r="M772" i="17"/>
  <c r="M795" i="17"/>
  <c r="M822" i="17"/>
  <c r="M843" i="17"/>
  <c r="M869" i="17"/>
  <c r="M890" i="17"/>
  <c r="M916" i="17"/>
  <c r="M957" i="17"/>
  <c r="M975" i="17"/>
  <c r="M991"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K2" i="17"/>
  <c r="L2" i="17"/>
  <c r="M2"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<sst xmlns="http://schemas.openxmlformats.org/spreadsheetml/2006/main" count="11128" uniqueCount="6221">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</sst>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409]#,##0_);\([$$-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7" fontId="0" fillId="0" borderId="0" xfId="0" applyNumberFormat="1"/>
    <xf numFmtId="167" fontId="0" fillId="0" borderId="0" xfId="0" applyNumberFormat="1"/>
  </cellXfs>
  <cellStyles count="2">
    <cellStyle name="Currency" xfId="1" builtinId="4"/>
    <cellStyle name="Normal" xfId="0" builtinId="0"/>
  </cellStyles>
  <dxfs count="18">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theme="0"/>
        <name val="Calibri"/>
        <family val="2"/>
        <scheme val="minor"/>
      </font>
      <border>
        <left style="thin">
          <color theme="0"/>
        </left>
        <right style="thin">
          <color theme="0"/>
        </right>
        <top style="thin">
          <color theme="0"/>
        </top>
        <bottom style="thin">
          <color theme="0"/>
        </bottom>
      </border>
    </dxf>
    <dxf>
      <font>
        <b val="0"/>
        <i val="0"/>
        <sz val="10"/>
        <color rgb="FF0054D0"/>
        <name val="Calibri"/>
        <family val="2"/>
        <scheme val="minor"/>
      </font>
      <fill>
        <patternFill patternType="solid">
          <fgColor auto="1"/>
          <bgColor rgb="FF4472C4"/>
        </patternFill>
      </fill>
      <border>
        <left style="thin">
          <color rgb="FF0054D0"/>
        </left>
        <right style="thin">
          <color rgb="FF0054D0"/>
        </right>
        <top style="thin">
          <color rgb="FF0054D0"/>
        </top>
        <bottom style="thin">
          <color rgb="FF0054D0"/>
        </bottom>
      </border>
    </dxf>
    <dxf>
      <font>
        <b/>
        <sz val="11"/>
        <color theme="1"/>
      </font>
    </dxf>
    <dxf>
      <font>
        <b val="0"/>
        <i val="0"/>
        <sz val="11"/>
        <name val="Calibri"/>
        <family val="2"/>
        <scheme val="minor"/>
      </font>
      <fill>
        <gradientFill degree="90">
          <stop position="0">
            <color theme="0"/>
          </stop>
          <stop position="1">
            <color theme="4"/>
          </stop>
        </gradientFill>
      </fill>
      <border>
        <left style="thin">
          <color rgb="FF0054D0"/>
        </left>
        <right style="thin">
          <color rgb="FF0054D0"/>
        </right>
        <top style="thin">
          <color rgb="FF0054D0"/>
        </top>
        <bottom style="thin">
          <color rgb="FF0054D0"/>
        </bottom>
      </border>
    </dxf>
    <dxf>
      <font>
        <b/>
        <i val="0"/>
        <sz val="11"/>
        <color theme="0"/>
        <name val="Calibri Light"/>
        <family val="2"/>
        <scheme val="major"/>
      </font>
      <fill>
        <gradientFill degree="90">
          <stop position="0">
            <color rgb="FFB9D5FD"/>
          </stop>
          <stop position="1">
            <color rgb="FFB9D5FD"/>
          </stop>
        </gradientFill>
      </fill>
    </dxf>
    <dxf>
      <fill>
        <patternFill>
          <bgColor rgb="FF4472C4"/>
        </patternFill>
      </fill>
    </dxf>
  </dxfs>
  <tableStyles count="3" defaultTableStyle="TableStyleMedium2" defaultPivotStyle="PivotStyleMedium9">
    <tableStyle name="Blue" pivot="0" table="0" count="10" xr9:uid="{921D3928-9891-4D26-A43C-116EB34A129A}">
      <tableStyleElement type="wholeTable" dxfId="17"/>
      <tableStyleElement type="headerRow" dxfId="16"/>
    </tableStyle>
    <tableStyle name="Blue Style" pivot="0" table="0" count="8" xr9:uid="{5B194505-90B1-45BC-8D60-2446DA6DD630}">
      <tableStyleElement type="wholeTable" dxfId="15"/>
      <tableStyleElement type="headerRow" dxfId="14"/>
    </tableStyle>
    <tableStyle name="Timeline Style 1" pivot="0" table="0" count="8" xr9:uid="{ABBF394C-26E9-44F2-AC33-49E4501855BC}">
      <tableStyleElement type="wholeTable" dxfId="13"/>
      <tableStyleElement type="headerRow" dxfId="12"/>
    </tableStyle>
  </tableStyles>
  <colors>
    <mruColors>
      <color rgb="FF4472C4"/>
      <color rgb="FFAABFE4"/>
      <color rgb="FFCDD9EF"/>
      <color rgb="FF678CCF"/>
      <color rgb="FFB9D5FD"/>
      <color rgb="FFD5E9FF"/>
      <color rgb="FF80E7FC"/>
      <color rgb="FFCDF3FF"/>
      <color rgb="FF0054D0"/>
      <color rgb="FFCF41EB"/>
    </mruColors>
  </colors>
  <extLst>
    <ext xmlns:x14="http://schemas.microsoft.com/office/spreadsheetml/2009/9/main" uri="{46F421CA-312F-682f-3DD2-61675219B42D}">
      <x14:dxfs count="8">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Blu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patternFill>
          </fill>
        </dxf>
        <dxf>
          <fill>
            <patternFill patternType="solid">
              <fgColor theme="0"/>
              <bgColor rgb="FF80E7F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rgb="FFCDF3FF"/>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Blu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Total Sales</a:t>
            </a:r>
            <a:r>
              <a:rPr lang="en-US" b="1" baseline="0">
                <a:solidFill>
                  <a:srgbClr val="0070C0"/>
                </a:solidFill>
              </a:rPr>
              <a:t> Over TIme</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6A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F4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5B6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6A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F4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5B6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6A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F4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35B6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BF1-4623-BE0F-D881EEAAD937}"/>
            </c:ext>
          </c:extLst>
        </c:ser>
        <c:ser>
          <c:idx val="1"/>
          <c:order val="1"/>
          <c:tx>
            <c:strRef>
              <c:f>TotalSales!$D$3:$D$4</c:f>
              <c:strCache>
                <c:ptCount val="1"/>
                <c:pt idx="0">
                  <c:v>Excelsa</c:v>
                </c:pt>
              </c:strCache>
            </c:strRef>
          </c:tx>
          <c:spPr>
            <a:ln w="28575" cap="rnd">
              <a:solidFill>
                <a:srgbClr val="F6A63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BF1-4623-BE0F-D881EEAAD937}"/>
            </c:ext>
          </c:extLst>
        </c:ser>
        <c:ser>
          <c:idx val="2"/>
          <c:order val="2"/>
          <c:tx>
            <c:strRef>
              <c:f>TotalSales!$E$3:$E$4</c:f>
              <c:strCache>
                <c:ptCount val="1"/>
                <c:pt idx="0">
                  <c:v>Liberica</c:v>
                </c:pt>
              </c:strCache>
            </c:strRef>
          </c:tx>
          <c:spPr>
            <a:ln w="28575" cap="rnd">
              <a:solidFill>
                <a:srgbClr val="CF41E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BF1-4623-BE0F-D881EEAAD937}"/>
            </c:ext>
          </c:extLst>
        </c:ser>
        <c:ser>
          <c:idx val="3"/>
          <c:order val="3"/>
          <c:tx>
            <c:strRef>
              <c:f>TotalSales!$F$3:$F$4</c:f>
              <c:strCache>
                <c:ptCount val="1"/>
                <c:pt idx="0">
                  <c:v>Robusta</c:v>
                </c:pt>
              </c:strCache>
            </c:strRef>
          </c:tx>
          <c:spPr>
            <a:ln w="28575" cap="rnd">
              <a:solidFill>
                <a:srgbClr val="35B6F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BF1-4623-BE0F-D881EEAAD937}"/>
            </c:ext>
          </c:extLst>
        </c:ser>
        <c:dLbls>
          <c:showLegendKey val="0"/>
          <c:showVal val="0"/>
          <c:showCatName val="0"/>
          <c:showSerName val="0"/>
          <c:showPercent val="0"/>
          <c:showBubbleSize val="0"/>
        </c:dLbls>
        <c:smooth val="0"/>
        <c:axId val="529999088"/>
        <c:axId val="1679925680"/>
      </c:lineChart>
      <c:catAx>
        <c:axId val="5299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1679925680"/>
        <c:crosses val="autoZero"/>
        <c:auto val="1"/>
        <c:lblAlgn val="ctr"/>
        <c:lblOffset val="100"/>
        <c:noMultiLvlLbl val="0"/>
      </c:catAx>
      <c:valAx>
        <c:axId val="167992568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0070C0"/>
                    </a:solidFill>
                    <a:latin typeface="+mn-lt"/>
                    <a:ea typeface="+mn-ea"/>
                    <a:cs typeface="+mn-cs"/>
                  </a:defRPr>
                </a:pPr>
                <a:r>
                  <a:rPr lang="en-US" b="1">
                    <a:solidFill>
                      <a:srgbClr val="0070C0"/>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70C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5299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9D5FD"/>
    </a:solidFill>
    <a:ln w="9525" cap="flat" cmpd="sng" algn="ctr">
      <a:solidFill>
        <a:schemeClr val="accent1">
          <a:alpha val="96000"/>
        </a:schemeClr>
      </a:solidFill>
      <a:round/>
    </a:ln>
    <a:effectLst/>
  </c:spPr>
  <c:txPr>
    <a:bodyPr rot="0" vert="wordArtVert"/>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4"/>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2700">
            <a:solidFill>
              <a:schemeClr val="bg1"/>
            </a:solidFill>
          </a:ln>
          <a:effectLst/>
        </c:spPr>
      </c:pivotFmt>
      <c:pivotFmt>
        <c:idx val="2"/>
        <c:spPr>
          <a:solidFill>
            <a:srgbClr val="678CCF"/>
          </a:solidFill>
          <a:ln w="12700">
            <a:solidFill>
              <a:schemeClr val="bg1"/>
            </a:solidFill>
          </a:ln>
          <a:effectLst/>
        </c:spPr>
      </c:pivotFmt>
      <c:pivotFmt>
        <c:idx val="3"/>
        <c:spPr>
          <a:solidFill>
            <a:srgbClr val="AABFE4"/>
          </a:solidFill>
          <a:ln w="12700">
            <a:solidFill>
              <a:schemeClr val="bg1"/>
            </a:solidFill>
          </a:ln>
          <a:effectLst/>
        </c:spPr>
      </c:pivotFmt>
      <c:pivotFmt>
        <c:idx val="4"/>
        <c:spPr>
          <a:solidFill>
            <a:schemeClr val="accent1"/>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AABFE4"/>
          </a:solidFill>
          <a:ln w="12700">
            <a:solidFill>
              <a:schemeClr val="bg1"/>
            </a:solidFill>
          </a:ln>
          <a:effectLst/>
        </c:spPr>
      </c:pivotFmt>
      <c:pivotFmt>
        <c:idx val="6"/>
        <c:spPr>
          <a:solidFill>
            <a:srgbClr val="678CCF"/>
          </a:solidFill>
          <a:ln w="12700">
            <a:solidFill>
              <a:schemeClr val="bg1"/>
            </a:solidFill>
          </a:ln>
          <a:effectLst/>
        </c:spPr>
      </c:pivotFmt>
      <c:pivotFmt>
        <c:idx val="7"/>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ABFE4"/>
          </a:solidFill>
          <a:ln w="12700">
            <a:solidFill>
              <a:schemeClr val="bg1"/>
            </a:solidFill>
          </a:ln>
          <a:effectLst/>
        </c:spPr>
      </c:pivotFmt>
      <c:pivotFmt>
        <c:idx val="9"/>
        <c:spPr>
          <a:solidFill>
            <a:srgbClr val="678CCF"/>
          </a:solidFill>
          <a:ln w="12700">
            <a:solidFill>
              <a:schemeClr val="bg1"/>
            </a:solidFill>
          </a:ln>
          <a:effectLst/>
        </c:spPr>
      </c:pivotFmt>
      <c:pivotFmt>
        <c:idx val="10"/>
        <c:spPr>
          <a:solidFill>
            <a:srgbClr val="4472C4"/>
          </a:solidFill>
          <a:ln w="127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w="12700">
              <a:solidFill>
                <a:schemeClr val="bg1"/>
              </a:solidFill>
            </a:ln>
            <a:effectLst/>
          </c:spPr>
          <c:invertIfNegative val="0"/>
          <c:dPt>
            <c:idx val="0"/>
            <c:invertIfNegative val="0"/>
            <c:bubble3D val="0"/>
            <c:spPr>
              <a:solidFill>
                <a:srgbClr val="AABFE4"/>
              </a:solidFill>
              <a:ln w="12700">
                <a:solidFill>
                  <a:schemeClr val="bg1"/>
                </a:solidFill>
              </a:ln>
              <a:effectLst/>
            </c:spPr>
            <c:extLst>
              <c:ext xmlns:c16="http://schemas.microsoft.com/office/drawing/2014/chart" uri="{C3380CC4-5D6E-409C-BE32-E72D297353CC}">
                <c16:uniqueId val="{00000001-17B6-410C-9E52-8495809ED5C8}"/>
              </c:ext>
            </c:extLst>
          </c:dPt>
          <c:dPt>
            <c:idx val="1"/>
            <c:invertIfNegative val="0"/>
            <c:bubble3D val="0"/>
            <c:spPr>
              <a:solidFill>
                <a:srgbClr val="678CCF"/>
              </a:solidFill>
              <a:ln w="12700">
                <a:solidFill>
                  <a:schemeClr val="bg1"/>
                </a:solidFill>
              </a:ln>
              <a:effectLst/>
            </c:spPr>
            <c:extLst>
              <c:ext xmlns:c16="http://schemas.microsoft.com/office/drawing/2014/chart" uri="{C3380CC4-5D6E-409C-BE32-E72D297353CC}">
                <c16:uniqueId val="{00000003-17B6-410C-9E52-8495809ED5C8}"/>
              </c:ext>
            </c:extLst>
          </c:dPt>
          <c:dPt>
            <c:idx val="2"/>
            <c:invertIfNegative val="0"/>
            <c:bubble3D val="0"/>
            <c:spPr>
              <a:solidFill>
                <a:srgbClr val="4472C4"/>
              </a:solidFill>
              <a:ln w="12700">
                <a:solidFill>
                  <a:schemeClr val="bg1"/>
                </a:solidFill>
              </a:ln>
              <a:effectLst/>
            </c:spPr>
            <c:extLst>
              <c:ext xmlns:c16="http://schemas.microsoft.com/office/drawing/2014/chart" uri="{C3380CC4-5D6E-409C-BE32-E72D297353CC}">
                <c16:uniqueId val="{0000000D-17B6-410C-9E52-8495809ED5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7B6-410C-9E52-8495809ED5C8}"/>
            </c:ext>
          </c:extLst>
        </c:ser>
        <c:dLbls>
          <c:dLblPos val="outEnd"/>
          <c:showLegendKey val="0"/>
          <c:showVal val="1"/>
          <c:showCatName val="0"/>
          <c:showSerName val="0"/>
          <c:showPercent val="0"/>
          <c:showBubbleSize val="0"/>
        </c:dLbls>
        <c:gapWidth val="182"/>
        <c:axId val="958198704"/>
        <c:axId val="1679967920"/>
      </c:barChart>
      <c:catAx>
        <c:axId val="95819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679967920"/>
        <c:crosses val="autoZero"/>
        <c:auto val="1"/>
        <c:lblAlgn val="ctr"/>
        <c:lblOffset val="100"/>
        <c:noMultiLvlLbl val="0"/>
      </c:catAx>
      <c:valAx>
        <c:axId val="1679967920"/>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1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9D5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[coffeeOrdersData.xlsx]Top5Customers!PivotTable1</c:name>
    <c:fmtId val="16"/>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a:solidFill>
              <a:schemeClr val="bg1"/>
            </a:solidFill>
          </a:ln>
          <a:effectLst/>
        </c:spPr>
      </c:pivotFmt>
      <c:pivotFmt>
        <c:idx val="2"/>
        <c:spPr>
          <a:solidFill>
            <a:srgbClr val="678CCF"/>
          </a:solidFill>
          <a:ln w="12700">
            <a:solidFill>
              <a:schemeClr val="bg1"/>
            </a:solidFill>
          </a:ln>
          <a:effectLst/>
        </c:spPr>
      </c:pivotFmt>
      <c:pivotFmt>
        <c:idx val="3"/>
        <c:spPr>
          <a:solidFill>
            <a:srgbClr val="AABFE4"/>
          </a:solidFill>
          <a:ln w="12700">
            <a:solidFill>
              <a:schemeClr val="bg1"/>
            </a:solidFill>
          </a:ln>
          <a:effectLst/>
        </c:spPr>
      </c:pivotFmt>
      <c:pivotFmt>
        <c:idx val="4"/>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ABFE4"/>
          </a:solidFill>
          <a:ln w="12700">
            <a:solidFill>
              <a:schemeClr val="bg1"/>
            </a:solidFill>
          </a:ln>
          <a:effectLst/>
        </c:spPr>
      </c:pivotFmt>
      <c:pivotFmt>
        <c:idx val="6"/>
        <c:spPr>
          <a:solidFill>
            <a:srgbClr val="678CCF"/>
          </a:solidFill>
          <a:ln w="12700">
            <a:solidFill>
              <a:schemeClr val="bg1"/>
            </a:solidFill>
          </a:ln>
          <a:effectLst/>
        </c:spPr>
      </c:pivotFmt>
      <c:pivotFmt>
        <c:idx val="7"/>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72110372241972"/>
          <c:y val="0.19930827508369714"/>
          <c:w val="0.7330494184924915"/>
          <c:h val="0.71451768480953137"/>
        </c:manualLayout>
      </c:layout>
      <c:barChart>
        <c:barDir val="bar"/>
        <c:grouping val="clustered"/>
        <c:varyColors val="0"/>
        <c:ser>
          <c:idx val="0"/>
          <c:order val="0"/>
          <c:tx>
            <c:strRef>
              <c:f>Top5Customers!$B$3</c:f>
              <c:strCache>
                <c:ptCount val="1"/>
                <c:pt idx="0">
                  <c:v>Total</c:v>
                </c:pt>
              </c:strCache>
            </c:strRef>
          </c:tx>
          <c:spPr>
            <a:solidFill>
              <a:schemeClr val="accent1"/>
            </a:solidFill>
            <a:ln w="12700">
              <a:solidFill>
                <a:schemeClr val="bg1"/>
              </a:solidFill>
            </a:ln>
            <a:effectLst/>
          </c:spPr>
          <c:invertIfNegative val="0"/>
          <c:dPt>
            <c:idx val="0"/>
            <c:invertIfNegative val="0"/>
            <c:bubble3D val="0"/>
            <c:extLst>
              <c:ext xmlns:c16="http://schemas.microsoft.com/office/drawing/2014/chart" uri="{C3380CC4-5D6E-409C-BE32-E72D297353CC}">
                <c16:uniqueId val="{00000000-A1E4-4974-87BA-953F43C97E42}"/>
              </c:ext>
            </c:extLst>
          </c:dPt>
          <c:dPt>
            <c:idx val="1"/>
            <c:invertIfNegative val="0"/>
            <c:bubble3D val="0"/>
            <c:extLst>
              <c:ext xmlns:c16="http://schemas.microsoft.com/office/drawing/2014/chart" uri="{C3380CC4-5D6E-409C-BE32-E72D297353CC}">
                <c16:uniqueId val="{00000001-A1E4-4974-87BA-953F43C97E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Allis Wilmore</c:v>
                </c:pt>
                <c:pt idx="1">
                  <c:v>Brenn Dundredge</c:v>
                </c:pt>
                <c:pt idx="2">
                  <c:v>Don Flintiff</c:v>
                </c:pt>
                <c:pt idx="3">
                  <c:v>Nealson Cuttler</c:v>
                </c:pt>
                <c:pt idx="4">
                  <c:v>Terri Farra</c:v>
                </c:pt>
              </c:strCache>
            </c:strRef>
          </c:cat>
          <c:val>
            <c:numRef>
              <c:f>Top5Customers!$B$4:$B$8</c:f>
              <c:numCache>
                <c:formatCode>[$$-409]#,##0_);\([$$-409]#,##0\)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2-A1E4-4974-87BA-953F43C97E42}"/>
            </c:ext>
          </c:extLst>
        </c:ser>
        <c:dLbls>
          <c:dLblPos val="outEnd"/>
          <c:showLegendKey val="0"/>
          <c:showVal val="1"/>
          <c:showCatName val="0"/>
          <c:showSerName val="0"/>
          <c:showPercent val="0"/>
          <c:showBubbleSize val="0"/>
        </c:dLbls>
        <c:gapWidth val="182"/>
        <c:axId val="958198704"/>
        <c:axId val="1679967920"/>
      </c:barChart>
      <c:catAx>
        <c:axId val="95819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679967920"/>
        <c:crosses val="autoZero"/>
        <c:auto val="1"/>
        <c:lblAlgn val="ctr"/>
        <c:lblOffset val="100"/>
        <c:noMultiLvlLbl val="0"/>
      </c:catAx>
      <c:valAx>
        <c:axId val="1679967920"/>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1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9D5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28575</xdr:rowOff>
    </xdr:from>
    <xdr:to>
      <xdr:col>26</xdr:col>
      <xdr:colOff>0</xdr:colOff>
      <xdr:row>5</xdr:row>
      <xdr:rowOff>0</xdr:rowOff>
    </xdr:to>
    <xdr:sp macro="" textlink="">
      <xdr:nvSpPr>
        <xdr:cNvPr id="4" name="Rectangle 3">
          <a:extLst>
            <a:ext uri="{FF2B5EF4-FFF2-40B4-BE49-F238E27FC236}">
              <a16:creationId xmlns:a16="http://schemas.microsoft.com/office/drawing/2014/main" id="{7DA45D26-C5AB-4334-481B-EFFBD9DEA857}"/>
            </a:ext>
          </a:extLst>
        </xdr:cNvPr>
        <xdr:cNvSpPr/>
      </xdr:nvSpPr>
      <xdr:spPr>
        <a:xfrm>
          <a:off x="142875" y="28575"/>
          <a:ext cx="15220950" cy="752475"/>
        </a:xfrm>
        <a:prstGeom prst="rect">
          <a:avLst/>
        </a:prstGeom>
        <a:ln>
          <a:solidFill>
            <a:srgbClr val="AABFE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 SALES DASHBOARD</a:t>
          </a:r>
        </a:p>
      </xdr:txBody>
    </xdr:sp>
    <xdr:clientData/>
  </xdr:twoCellAnchor>
  <xdr:twoCellAnchor>
    <xdr:from>
      <xdr:col>1</xdr:col>
      <xdr:colOff>17840</xdr:colOff>
      <xdr:row>16</xdr:row>
      <xdr:rowOff>94983</xdr:rowOff>
    </xdr:from>
    <xdr:to>
      <xdr:col>18</xdr:col>
      <xdr:colOff>488776</xdr:colOff>
      <xdr:row>44</xdr:row>
      <xdr:rowOff>152069</xdr:rowOff>
    </xdr:to>
    <xdr:graphicFrame macro="">
      <xdr:nvGraphicFramePr>
        <xdr:cNvPr id="5" name="Chart 4">
          <a:extLst>
            <a:ext uri="{FF2B5EF4-FFF2-40B4-BE49-F238E27FC236}">
              <a16:creationId xmlns:a16="http://schemas.microsoft.com/office/drawing/2014/main" id="{077351F0-9B54-4E06-A179-C1816E6E0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5</xdr:row>
      <xdr:rowOff>55245</xdr:rowOff>
    </xdr:from>
    <xdr:to>
      <xdr:col>18</xdr:col>
      <xdr:colOff>475104</xdr:colOff>
      <xdr:row>15</xdr:row>
      <xdr:rowOff>170317</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FB454130-4031-405D-898B-1F0824E77F2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6050" y="849277"/>
              <a:ext cx="10775086" cy="19495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552388</xdr:colOff>
      <xdr:row>10</xdr:row>
      <xdr:rowOff>11516</xdr:rowOff>
    </xdr:from>
    <xdr:to>
      <xdr:col>22</xdr:col>
      <xdr:colOff>249555</xdr:colOff>
      <xdr:row>16</xdr:row>
      <xdr:rowOff>19818</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16D449DD-6C16-471B-9428-6C79EE52A5A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998420" y="1722770"/>
              <a:ext cx="2116658" cy="1101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552089</xdr:colOff>
      <xdr:row>5</xdr:row>
      <xdr:rowOff>65512</xdr:rowOff>
    </xdr:from>
    <xdr:to>
      <xdr:col>26</xdr:col>
      <xdr:colOff>19050</xdr:colOff>
      <xdr:row>9</xdr:row>
      <xdr:rowOff>130927</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2D044C38-5264-4601-83E4-AD6C5F0C55C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998121" y="853829"/>
              <a:ext cx="4313563" cy="804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325476</xdr:colOff>
      <xdr:row>10</xdr:row>
      <xdr:rowOff>10375</xdr:rowOff>
    </xdr:from>
    <xdr:to>
      <xdr:col>26</xdr:col>
      <xdr:colOff>16912</xdr:colOff>
      <xdr:row>16</xdr:row>
      <xdr:rowOff>16029</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0FCC8EE5-8FC9-4691-9B4A-0F6282AEEAE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190999" y="1719724"/>
              <a:ext cx="2126167" cy="1108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555172</xdr:colOff>
      <xdr:row>16</xdr:row>
      <xdr:rowOff>96825</xdr:rowOff>
    </xdr:from>
    <xdr:to>
      <xdr:col>26</xdr:col>
      <xdr:colOff>21688</xdr:colOff>
      <xdr:row>30</xdr:row>
      <xdr:rowOff>41413</xdr:rowOff>
    </xdr:to>
    <xdr:graphicFrame macro="">
      <xdr:nvGraphicFramePr>
        <xdr:cNvPr id="10" name="Chart 9">
          <a:extLst>
            <a:ext uri="{FF2B5EF4-FFF2-40B4-BE49-F238E27FC236}">
              <a16:creationId xmlns:a16="http://schemas.microsoft.com/office/drawing/2014/main" id="{413FC704-0D74-4E83-BA40-D50ADCACD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551256</xdr:colOff>
      <xdr:row>30</xdr:row>
      <xdr:rowOff>124239</xdr:rowOff>
    </xdr:from>
    <xdr:to>
      <xdr:col>26</xdr:col>
      <xdr:colOff>16068</xdr:colOff>
      <xdr:row>44</xdr:row>
      <xdr:rowOff>169461</xdr:rowOff>
    </xdr:to>
    <xdr:graphicFrame macro="">
      <xdr:nvGraphicFramePr>
        <xdr:cNvPr id="12" name="Chart 11">
          <a:extLst>
            <a:ext uri="{FF2B5EF4-FFF2-40B4-BE49-F238E27FC236}">
              <a16:creationId xmlns:a16="http://schemas.microsoft.com/office/drawing/2014/main" id="{63F9BF39-1EEA-4C0A-AB93-1022457CF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n Nguyen" refreshedDate="46262.920267013891" createdVersion="8" refreshedVersion="8" minRefreshableVersion="3" recordCount="1000" xr:uid="{6728336B-11EF-45CF-A53A-2EE7B7B76D5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43992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24A18-332A-409C-9748-B1CC64EF1263}" name="PivotTable1" cacheId="3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7"/>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889874-A1D2-4012-8959-105240FB18AD}" name="PivotTable1" cacheId="3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7" count="1" selected="0">
            <x v="1"/>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 chart="14" format="10">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94B80E-11C9-42E9-BD24-A42DE5025C45}" name="PivotTable1" cacheId="3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0" baseItem="0" numFmtId="167"/>
  </dataFields>
  <chartFormats count="4">
    <chartFormat chart="6"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97C2824-CDAF-4E31-962D-ABCBB818FCC6}" sourceName="Size">
  <pivotTables>
    <pivotTable tabId="18" name="PivotTable1"/>
  </pivotTables>
  <data>
    <tabular pivotCacheId="16439922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1205963-AC16-4D4D-9CE5-DB2577A5E0BB}" sourceName="Roast Type Name">
  <pivotTables>
    <pivotTable tabId="18" name="PivotTable1"/>
  </pivotTables>
  <data>
    <tabular pivotCacheId="16439922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87FC380-9935-4205-A350-8D2C5DE521AC}" sourceName="Loyalty Card">
  <pivotTables>
    <pivotTable tabId="18" name="PivotTable1"/>
  </pivotTables>
  <data>
    <tabular pivotCacheId="16439922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70C3AD5-B005-484D-A2C4-B01E342C5EE1}" cache="Slicer_Size" caption="Size" columnCount="2" style="Blue" rowHeight="234950"/>
  <slicer name="Roast Type Name" xr10:uid="{A5C83698-15AB-482B-826E-98B920A3B145}" cache="Slicer_Roast_Type_Name" caption="Roast Type Name" columnCount="3" style="Blue" rowHeight="234950"/>
  <slicer name="Loyalty Card" xr10:uid="{827FCEC5-B855-475A-9EEE-C33677127F30}" cache="Slicer_Loyalty_Card" caption="Loyalty Card" columnCount="2" style="B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953DF5-6BD7-47F6-B298-CFC84B2856C9}" name="Orders" displayName="Orders" ref="A1:P1001" totalsRowShown="0" headerRowDxfId="11">
  <autoFilter ref="A1:P1001" xr:uid="{47953DF5-6BD7-47F6-B298-CFC84B2856C9}"/>
  <tableColumns count="16">
    <tableColumn id="1" xr3:uid="{C7CD2416-0248-4865-9ED1-0EF8BA574842}" name="Order ID" dataDxfId="10"/>
    <tableColumn id="2" xr3:uid="{14D34501-9739-4373-9044-64A0C9EA2B85}" name="Order Date" dataDxfId="9"/>
    <tableColumn id="3" xr3:uid="{9726C337-518D-4580-BA0C-C9AF5A28CF6E}" name="Customer ID" dataDxfId="8"/>
    <tableColumn id="4" xr3:uid="{9E540FE2-B7F8-408F-BFFD-0FBE0F8699DB}" name="Product ID"/>
    <tableColumn id="5" xr3:uid="{1EF1005C-48FE-4E0D-82B5-74AD4A466C10}" name="Quantity" dataDxfId="7"/>
    <tableColumn id="6" xr3:uid="{100FBC5D-DAD8-4669-9CE6-33572541FE8E}" name="Customer Name" dataDxfId="6">
      <calculatedColumnFormula>_xlfn.XLOOKUP(C2,customers!$A$1:$A$1001,customers!$B$1:$B$1001,,0)</calculatedColumnFormula>
    </tableColumn>
    <tableColumn id="7" xr3:uid="{026E75E3-0A4E-4791-9B6B-61CBB20CD7F5}" name="Email" dataDxfId="5">
      <calculatedColumnFormula>IF(_xlfn.XLOOKUP(C2,customers!$A$2:$A$1001,customers!$C$2:$C$1001,,0)=0,"",_xlfn.XLOOKUP(C2,customers!$A$2:$A$1001,customers!$C$2:$C$1001,,0))</calculatedColumnFormula>
    </tableColumn>
    <tableColumn id="8" xr3:uid="{82FA1125-09FC-4A45-871A-57C40BF99FC2}" name="Country" dataDxfId="4">
      <calculatedColumnFormula>_xlfn.XLOOKUP(C2,customers!$A$2:$A$1001,customers!$G$2:$G$1001,,0)</calculatedColumnFormula>
    </tableColumn>
    <tableColumn id="9" xr3:uid="{84FD9C93-BA24-4BA0-9C0D-1449B825248C}" name="Coffee Type">
      <calculatedColumnFormula>INDEX(products!$A$1:$G$49,MATCH(orders!$D2,products!$A$1:$A$49,0),MATCH(orders!I$1,products!$A$1:$G$1,0))</calculatedColumnFormula>
    </tableColumn>
    <tableColumn id="10" xr3:uid="{6CE9E488-5516-4144-8F88-9005A5C28DF5}" name="Roast Type">
      <calculatedColumnFormula>INDEX(products!$A$1:$G$49,MATCH(orders!$D2,products!$A$1:$A$49,0),MATCH(orders!J$1,products!$A$1:$G$1,0))</calculatedColumnFormula>
    </tableColumn>
    <tableColumn id="11" xr3:uid="{1D9E430A-0B9E-4381-B042-EC34A24667C3}" name="Size" dataDxfId="3">
      <calculatedColumnFormula>INDEX(products!$A$1:$G$49,MATCH(orders!$D2,products!$A$1:$A$49,0),MATCH(orders!K$1,products!$A$1:$G$1,0))</calculatedColumnFormula>
    </tableColumn>
    <tableColumn id="12" xr3:uid="{A6FE6416-323E-4F43-A8D1-84801BE8D8BD}" name="Unit Price" dataDxfId="2" dataCellStyle="Currency">
      <calculatedColumnFormula>INDEX(products!$A$1:$G$49,MATCH(orders!$D2,products!$A$1:$A$49,0),MATCH(orders!L$1,products!$A$1:$G$1,0))</calculatedColumnFormula>
    </tableColumn>
    <tableColumn id="13" xr3:uid="{CE037330-247A-4412-AD98-593B195D5FE3}" name="Sales" dataDxfId="1" dataCellStyle="Currency">
      <calculatedColumnFormula>L2*E2</calculatedColumnFormula>
    </tableColumn>
    <tableColumn id="14" xr3:uid="{64462AFF-4313-4035-AB60-D95B32641543}" name="Coffee Type Name">
      <calculatedColumnFormula>IF(I2="Rob","Robusta",IF(I2="Exc","Excelsa",IF(I2="Ara","Arabica",IF(I2="Lib","Liberica",))))</calculatedColumnFormula>
    </tableColumn>
    <tableColumn id="15" xr3:uid="{18CDFC3E-D459-4C23-9F79-D4E159410D24}" name="Roast Type Name">
      <calculatedColumnFormula>IF(J2="M","Medium",IF(J2="L","Light",IF(J2="D","Dark",)))</calculatedColumnFormula>
    </tableColumn>
    <tableColumn id="16" xr3:uid="{AA73319E-266C-41F4-8AFA-918B91C37909}"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142C07A-689D-44F1-9C48-17A087763D4B}" sourceName="Order Date">
  <pivotTables>
    <pivotTable tabId="18" name="PivotTable1"/>
    <pivotTable tabId="20" name="PivotTable1"/>
    <pivotTable tabId="21" name="PivotTable1"/>
  </pivotTables>
  <state minimalRefreshVersion="6" lastRefreshVersion="6" pivotCacheId="16439922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D0835C8-0016-4177-A186-E9B99B334207}" cache="NativeTimeline_Order_Date" caption="Order Date" level="2" selectionLevel="2" scrollPosition="2019-04-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FB9B-ECB0-427C-934A-5D61381FE109}">
  <dimension ref="A3:F48"/>
  <sheetViews>
    <sheetView topLeftCell="H3" zoomScale="88" zoomScaleNormal="100" workbookViewId="0">
      <selection activeCell="R18" sqref="R18"/>
    </sheetView>
  </sheetViews>
  <sheetFormatPr defaultRowHeight="14.4" x14ac:dyDescent="0.3"/>
  <cols>
    <col min="1" max="1" width="12.77734375" bestFit="1" customWidth="1"/>
    <col min="2" max="2" width="22.109375" bestFit="1" customWidth="1"/>
    <col min="3" max="3" width="19.6640625" bestFit="1" customWidth="1"/>
    <col min="4" max="4" width="7.109375" bestFit="1" customWidth="1"/>
    <col min="5" max="5" width="7.77734375" bestFit="1" customWidth="1"/>
    <col min="6" max="6" width="8"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5B3C-87D6-4041-BA58-5ED858AABDBB}">
  <dimension ref="A3:B6"/>
  <sheetViews>
    <sheetView zoomScale="88" zoomScaleNormal="100" workbookViewId="0">
      <selection activeCell="D1" sqref="D1"/>
    </sheetView>
  </sheetViews>
  <sheetFormatPr defaultRowHeight="14.4" x14ac:dyDescent="0.3"/>
  <cols>
    <col min="1" max="1" width="15" bestFit="1" customWidth="1"/>
    <col min="2" max="4" width="11.77734375" bestFit="1" customWidth="1"/>
    <col min="5" max="5" width="7.109375" bestFit="1" customWidth="1"/>
    <col min="6" max="6" width="7.77734375" bestFit="1" customWidth="1"/>
    <col min="7" max="7" width="8"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671C-8A03-443F-8A4E-73651BBCB585}">
  <dimension ref="A3:B8"/>
  <sheetViews>
    <sheetView zoomScale="88" zoomScaleNormal="100" workbookViewId="0">
      <selection activeCell="D35" sqref="D35"/>
    </sheetView>
  </sheetViews>
  <sheetFormatPr defaultRowHeight="14.4" x14ac:dyDescent="0.3"/>
  <cols>
    <col min="1" max="1" width="17.88671875" bestFit="1" customWidth="1"/>
    <col min="2" max="4" width="11.77734375" bestFit="1" customWidth="1"/>
    <col min="5" max="5" width="7.109375" bestFit="1" customWidth="1"/>
    <col min="6" max="6" width="7.77734375" bestFit="1" customWidth="1"/>
    <col min="7" max="7" width="8" bestFit="1" customWidth="1"/>
  </cols>
  <sheetData>
    <row r="3" spans="1:2" x14ac:dyDescent="0.3">
      <c r="A3" s="6" t="s">
        <v>4</v>
      </c>
      <c r="B3" t="s">
        <v>6220</v>
      </c>
    </row>
    <row r="4" spans="1:2" x14ac:dyDescent="0.3">
      <c r="A4" t="s">
        <v>5114</v>
      </c>
      <c r="B4" s="8">
        <v>317.06999999999994</v>
      </c>
    </row>
    <row r="5" spans="1:2" x14ac:dyDescent="0.3">
      <c r="A5" t="s">
        <v>5765</v>
      </c>
      <c r="B5" s="8">
        <v>307.04499999999996</v>
      </c>
    </row>
    <row r="6" spans="1:2" x14ac:dyDescent="0.3">
      <c r="A6" t="s">
        <v>3753</v>
      </c>
      <c r="B6" s="8">
        <v>278.01</v>
      </c>
    </row>
    <row r="7" spans="1:2" x14ac:dyDescent="0.3">
      <c r="A7" t="s">
        <v>1598</v>
      </c>
      <c r="B7" s="8">
        <v>281.67499999999995</v>
      </c>
    </row>
    <row r="8" spans="1:2" x14ac:dyDescent="0.3">
      <c r="A8" t="s">
        <v>2587</v>
      </c>
      <c r="B8" s="8">
        <v>289.11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8932-2D2A-40CF-90A5-A6A741C36EB6}">
  <dimension ref="A1"/>
  <sheetViews>
    <sheetView showRowColHeaders="0" topLeftCell="P14" zoomScale="135" workbookViewId="0">
      <selection activeCell="AI55" sqref="AI55"/>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Normal="90" workbookViewId="0">
      <selection activeCell="P4" sqref="P4"/>
    </sheetView>
  </sheetViews>
  <sheetFormatPr defaultRowHeight="14.4" x14ac:dyDescent="0.3"/>
  <cols>
    <col min="1" max="1" width="16.5546875" bestFit="1" customWidth="1"/>
    <col min="2" max="2" width="12.5546875" customWidth="1"/>
    <col min="3" max="3" width="17.44140625" bestFit="1" customWidth="1"/>
    <col min="4" max="4" width="11.6640625" customWidth="1"/>
    <col min="5" max="5" width="10.33203125" customWidth="1"/>
    <col min="6" max="6" width="22.77734375" bestFit="1" customWidth="1"/>
    <col min="7" max="7" width="37.33203125" bestFit="1" customWidth="1"/>
    <col min="8" max="8" width="12.21875" bestFit="1" customWidth="1"/>
    <col min="9" max="9" width="12.88671875" customWidth="1"/>
    <col min="10" max="10" width="12.109375" customWidth="1"/>
    <col min="11" max="11" width="6.109375" customWidth="1"/>
    <col min="12" max="12" width="11.109375" customWidth="1"/>
    <col min="13" max="13" width="9.33203125" bestFit="1" customWidth="1"/>
    <col min="14" max="14" width="18.44140625" customWidth="1"/>
    <col min="15" max="15" width="17.664062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abSelected="1" topLeftCell="C903"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Megan Nguyen</cp:lastModifiedBy>
  <cp:revision/>
  <dcterms:created xsi:type="dcterms:W3CDTF">2022-11-26T09:51:45Z</dcterms:created>
  <dcterms:modified xsi:type="dcterms:W3CDTF">2026-08-29T03:03:30Z</dcterms:modified>
  <cp:category/>
  <cp:contentStatus/>
</cp:coreProperties>
</file>